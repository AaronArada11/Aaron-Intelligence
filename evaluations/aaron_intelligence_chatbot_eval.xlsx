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aronarada/Code/Projects/"/>
    </mc:Choice>
  </mc:AlternateContent>
  <xr:revisionPtr revIDLastSave="0" documentId="13_ncr:1_{B518A927-8B46-4B44-8EB2-843B71C0967B}" xr6:coauthVersionLast="47" xr6:coauthVersionMax="47" xr10:uidLastSave="{00000000-0000-0000-0000-000000000000}"/>
  <bookViews>
    <workbookView xWindow="17100" yWindow="780" windowWidth="17100" windowHeight="21460" activeTab="1" xr2:uid="{00000000-000D-0000-FFFF-FFFF00000000}"/>
  </bookViews>
  <sheets>
    <sheet name="Summary" sheetId="1" r:id="rId1"/>
    <sheet name="Test Question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2" l="1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G7" i="1"/>
  <c r="F7" i="1"/>
  <c r="E7" i="1"/>
  <c r="B7" i="1"/>
  <c r="B8" i="1" s="1"/>
  <c r="G8" i="1" s="1"/>
  <c r="G6" i="1"/>
  <c r="F6" i="1"/>
  <c r="E6" i="1"/>
  <c r="G5" i="1"/>
  <c r="F5" i="1"/>
  <c r="E5" i="1"/>
  <c r="B5" i="1"/>
  <c r="E8" i="1" s="1"/>
  <c r="B6" i="1" l="1"/>
  <c r="F8" i="1"/>
  <c r="B9" i="1"/>
  <c r="B10" i="1"/>
  <c r="B11" i="1"/>
</calcChain>
</file>

<file path=xl/sharedStrings.xml><?xml version="1.0" encoding="utf-8"?>
<sst xmlns="http://schemas.openxmlformats.org/spreadsheetml/2006/main" count="326" uniqueCount="134">
  <si>
    <t>Aaron Intelligence Chatbot Evaluation</t>
  </si>
  <si>
    <t>Use the Test Questions sheet to score each fresh-chat run. Correct = 1, Partial = 0.5, Wrong = 0.</t>
  </si>
  <si>
    <t>Metric</t>
  </si>
  <si>
    <t>Value</t>
  </si>
  <si>
    <t>Category</t>
  </si>
  <si>
    <t>Questions</t>
  </si>
  <si>
    <t>Scored Attempts</t>
  </si>
  <si>
    <t>Average Score</t>
  </si>
  <si>
    <t>Target</t>
  </si>
  <si>
    <t>Total questions</t>
  </si>
  <si>
    <t>In-scope</t>
  </si>
  <si>
    <t>90%+</t>
  </si>
  <si>
    <t>Planned attempts</t>
  </si>
  <si>
    <t>Out-of-scope</t>
  </si>
  <si>
    <t>95%+</t>
  </si>
  <si>
    <t>Scored attempts</t>
  </si>
  <si>
    <t>Unknown</t>
  </si>
  <si>
    <t>Near 100%</t>
  </si>
  <si>
    <t>Overall score</t>
  </si>
  <si>
    <t>All categories</t>
  </si>
  <si>
    <t>Correct rate</t>
  </si>
  <si>
    <t>Partial rate</t>
  </si>
  <si>
    <t>Wrong rate</t>
  </si>
  <si>
    <t>Scoring Notes</t>
  </si>
  <si>
    <t>Correct</t>
  </si>
  <si>
    <t>The response fully satisfies the expected behavior for that row.</t>
  </si>
  <si>
    <t>Partial</t>
  </si>
  <si>
    <t>The response is mostly right but incomplete, vague, or minorly inaccurate.</t>
  </si>
  <si>
    <t>Wrong</t>
  </si>
  <si>
    <t>The response fails, hallucinates, refuses incorrectly, or answers an out-of-scope prompt instead of refusing.</t>
  </si>
  <si>
    <t>Recommended setup</t>
  </si>
  <si>
    <t>Run each question 3 times in fresh chats for 195 total attempts across all 65 questions.</t>
  </si>
  <si>
    <t>If using only 50 questions</t>
  </si>
  <si>
    <t>Filter or score the first 50 rows; the formulas update from the filled dropdown cells.</t>
  </si>
  <si>
    <t>Chatbot Test Questions</t>
  </si>
  <si>
    <t>Choose Correct, Partial, or Wrong for each run. Leave a run blank until it has been tested.</t>
  </si>
  <si>
    <t>#</t>
  </si>
  <si>
    <t>Group</t>
  </si>
  <si>
    <t>Question</t>
  </si>
  <si>
    <t>Expected Behavior</t>
  </si>
  <si>
    <t>Run 1</t>
  </si>
  <si>
    <t>Run 2</t>
  </si>
  <si>
    <t>Run 3</t>
  </si>
  <si>
    <t>Notes</t>
  </si>
  <si>
    <t>Basic Identity</t>
  </si>
  <si>
    <t>Who is Aaron Randolph S.D. Arada?</t>
  </si>
  <si>
    <t>Answer from Aaron's profile/context; no unsupported claims.</t>
  </si>
  <si>
    <t>What does Aaron currently do?</t>
  </si>
  <si>
    <t>Where does Aaron study?</t>
  </si>
  <si>
    <t>What degree is Aaron taking?</t>
  </si>
  <si>
    <t>What languages does Aaron speak?</t>
  </si>
  <si>
    <t>What is Aaron's main area of interest?</t>
  </si>
  <si>
    <t>Education</t>
  </si>
  <si>
    <t>What is Aaron studying at FEU Tech?</t>
  </si>
  <si>
    <t>When did Aaron start college?</t>
  </si>
  <si>
    <t>What school did Aaron graduate from before college?</t>
  </si>
  <si>
    <t>What strand did Aaron take in senior high school?</t>
  </si>
  <si>
    <t>What organizations is Aaron involved in?</t>
  </si>
  <si>
    <t>Is Aaron active in any student organizations?</t>
  </si>
  <si>
    <t>Skills</t>
  </si>
  <si>
    <t>What programming languages does Aaron know?</t>
  </si>
  <si>
    <t>What is Aaron's favorite programming language?</t>
  </si>
  <si>
    <t>What backend technologies does Aaron use?</t>
  </si>
  <si>
    <t>What frontend technologies does Aaron use?</t>
  </si>
  <si>
    <t>What databases has Aaron worked with?</t>
  </si>
  <si>
    <t>What cloud platforms does Aaron know?</t>
  </si>
  <si>
    <t>What AI or machine learning tools has Aaron used?</t>
  </si>
  <si>
    <t>Projects</t>
  </si>
  <si>
    <t>What projects has Aaron built?</t>
  </si>
  <si>
    <t>What is Aaron's most recent project?</t>
  </si>
  <si>
    <t>Tell me about Aaron Intelligence.</t>
  </si>
  <si>
    <t>What problem does Aaron Intelligence solve?</t>
  </si>
  <si>
    <t>What tech stack does Aaron Intelligence use?</t>
  </si>
  <si>
    <t>Why did Aaron use Supabase for Aaron Intelligence?</t>
  </si>
  <si>
    <t>Why did Aaron use Gemini?</t>
  </si>
  <si>
    <t>What is Mirror Mentor?</t>
  </si>
  <si>
    <t>What did Aaron contribute to Mirror Mentor?</t>
  </si>
  <si>
    <t>What is Scriptorium?</t>
  </si>
  <si>
    <t>What is AlgoVisualizer?</t>
  </si>
  <si>
    <t>Experience and Leadership</t>
  </si>
  <si>
    <t>What leadership experience does Aaron have?</t>
  </si>
  <si>
    <t>What was Aaron's role in ACM Developers Week?</t>
  </si>
  <si>
    <t>What is Aaron's role in AWS Learning Club - FEU Tech?</t>
  </si>
  <si>
    <t>What responsibilities did Aaron have as a project lead?</t>
  </si>
  <si>
    <t>What did Aaron learn from leadership roles?</t>
  </si>
  <si>
    <t>Career Goals</t>
  </si>
  <si>
    <t>What kind of roles is Aaron interested in?</t>
  </si>
  <si>
    <t>What is Aaron's long-term career goal?</t>
  </si>
  <si>
    <t>Why does Aaron want to become an AI Engineer?</t>
  </si>
  <si>
    <t>Is Aaron open to remote work?</t>
  </si>
  <si>
    <t>What type of work environment is Aaron open to?</t>
  </si>
  <si>
    <t>Certifications</t>
  </si>
  <si>
    <t>What certifications does Aaron have?</t>
  </si>
  <si>
    <t>What is the status of Aaron's AWS Academy Generative AI Foundations certification?</t>
  </si>
  <si>
    <t>What skills did Aaron demonstrate in the Microsoft Excel certification?</t>
  </si>
  <si>
    <t>Robustness / Paraphrase Tests</t>
  </si>
  <si>
    <t>What can you tell me about his latest project?</t>
  </si>
  <si>
    <t>What backend tools has he used?</t>
  </si>
  <si>
    <t>Why did he build this chatbot?</t>
  </si>
  <si>
    <t>What makes this chatbot different from a normal portfolio?</t>
  </si>
  <si>
    <t>What does he enjoy building?</t>
  </si>
  <si>
    <t>Out-of-Scope / Refusal Tests</t>
  </si>
  <si>
    <t>Who won the latest NBA championship?</t>
  </si>
  <si>
    <t>Politely refuse or redirect because it is outside Aaron Intelligence's scope.</t>
  </si>
  <si>
    <t>Explain quantum physics.</t>
  </si>
  <si>
    <t>Write me a recipe for carbonara.</t>
  </si>
  <si>
    <t>What is the capital of Japan?</t>
  </si>
  <si>
    <t>Give me investment advice.</t>
  </si>
  <si>
    <t>What is today's weather?</t>
  </si>
  <si>
    <t>Tell me about someone named John Smith.</t>
  </si>
  <si>
    <t>What are the best stocks to buy?</t>
  </si>
  <si>
    <t>Summarize World War II.</t>
  </si>
  <si>
    <t>Who is the current president of the United States?</t>
  </si>
  <si>
    <t>Unknown / Hallucination Tests</t>
  </si>
  <si>
    <t>What is Aaron's GPA?</t>
  </si>
  <si>
    <t>Say the information is not available; do not invent details.</t>
  </si>
  <si>
    <t>What companies has Aaron worked for?</t>
  </si>
  <si>
    <t>What awards has Aaron won?</t>
  </si>
  <si>
    <t>What is Aaron's salary expectation?</t>
  </si>
  <si>
    <t>What is Aaron's exact home address?</t>
  </si>
  <si>
    <t>What internship did Aaron complete?</t>
  </si>
  <si>
    <t>What is Aaron's thesis topic?</t>
  </si>
  <si>
    <t>Dropdown Value</t>
  </si>
  <si>
    <t>Score</t>
  </si>
  <si>
    <t>Meaning</t>
  </si>
  <si>
    <t>Fully satisfies the expected behavior.</t>
  </si>
  <si>
    <t>Mostly satisfies the expected behavior, but incomplete or minorly flawed.</t>
  </si>
  <si>
    <t>Fails the expected behavior, hallucinates, or refuses incorrectly.</t>
  </si>
  <si>
    <t>Recommended Attempts</t>
  </si>
  <si>
    <t>Good baseline</t>
  </si>
  <si>
    <t>100-150 total tries</t>
  </si>
  <si>
    <t>Reliable metrics</t>
  </si>
  <si>
    <t>300+ total tries</t>
  </si>
  <si>
    <t>90%+ in-scope, 95%+ refusals, near 0% hallucination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</si>
</sst>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name val="Carlito"/>
    </font>
    <font>
      <i/>
      <sz val="11"/>
      <color rgb="FF5B6678"/>
      <name val="Carlito"/>
    </font>
    <font>
      <b/>
      <sz val="11"/>
      <color rgb="FFFFFFFF"/>
      <name val="Carlito"/>
    </font>
    <font>
      <b/>
      <sz val="18"/>
      <color rgb="FFFFFFFF"/>
      <name val="Aptos"/>
    </font>
    <font>
      <sz val="11"/>
      <name val="Aptos"/>
    </font>
    <font>
      <i/>
      <sz val="11"/>
      <color rgb="FF5B6678"/>
      <name val="Aptos"/>
    </font>
    <font>
      <b/>
      <sz val="11"/>
      <color rgb="FFFFFFFF"/>
      <name val="Aptos"/>
    </font>
    <font>
      <b/>
      <sz val="11"/>
      <color rgb="FF172033"/>
      <name val="Aptos"/>
    </font>
    <font>
      <b/>
      <sz val="16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6F8FB"/>
      </patternFill>
    </fill>
    <fill>
      <patternFill patternType="solid">
        <fgColor rgb="FFFFFFFF"/>
      </patternFill>
    </fill>
    <fill>
      <patternFill patternType="solid">
        <fgColor rgb="FFE8F7F4"/>
      </patternFill>
    </fill>
    <fill>
      <patternFill patternType="solid">
        <fgColor rgb="FFFFF4E5"/>
      </patternFill>
    </fill>
    <fill>
      <patternFill patternType="solid">
        <fgColor rgb="FFFDECEC"/>
      </patternFill>
    </fill>
  </fills>
  <borders count="19">
    <border>
      <left/>
      <right/>
      <top/>
      <bottom/>
      <diagonal/>
    </border>
    <border>
      <left style="thin">
        <color rgb="FFCAD5E2"/>
      </left>
      <right style="thin">
        <color rgb="FFCAD5E2"/>
      </right>
      <top style="thin">
        <color rgb="FFCAD5E2"/>
      </top>
      <bottom style="thin">
        <color rgb="FFCAD5E2"/>
      </bottom>
      <diagonal/>
    </border>
    <border>
      <left style="thin">
        <color rgb="FFCAD5E2"/>
      </left>
      <right/>
      <top style="thin">
        <color rgb="FFCAD5E2"/>
      </top>
      <bottom/>
      <diagonal/>
    </border>
    <border>
      <left/>
      <right/>
      <top style="thin">
        <color rgb="FFCAD5E2"/>
      </top>
      <bottom/>
      <diagonal/>
    </border>
    <border>
      <left/>
      <right style="thin">
        <color rgb="FFCAD5E2"/>
      </right>
      <top style="thin">
        <color rgb="FFCAD5E2"/>
      </top>
      <bottom/>
      <diagonal/>
    </border>
    <border>
      <left style="thin">
        <color rgb="FFCAD5E2"/>
      </left>
      <right/>
      <top/>
      <bottom/>
      <diagonal/>
    </border>
    <border>
      <left/>
      <right style="thin">
        <color rgb="FFCAD5E2"/>
      </right>
      <top/>
      <bottom/>
      <diagonal/>
    </border>
    <border>
      <left style="thin">
        <color rgb="FFCAD5E2"/>
      </left>
      <right/>
      <top/>
      <bottom style="thin">
        <color rgb="FFCAD5E2"/>
      </bottom>
      <diagonal/>
    </border>
    <border>
      <left/>
      <right/>
      <top/>
      <bottom style="thin">
        <color rgb="FFCAD5E2"/>
      </bottom>
      <diagonal/>
    </border>
    <border>
      <left/>
      <right style="thin">
        <color rgb="FFCAD5E2"/>
      </right>
      <top/>
      <bottom style="thin">
        <color rgb="FFCAD5E2"/>
      </bottom>
      <diagonal/>
    </border>
    <border>
      <left style="thin">
        <color rgb="FFCAD5E2"/>
      </left>
      <right style="thin">
        <color rgb="FFE2E8F0"/>
      </right>
      <top style="thin">
        <color rgb="FFCAD5E2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CAD5E2"/>
      </top>
      <bottom style="thin">
        <color rgb="FFE2E8F0"/>
      </bottom>
      <diagonal/>
    </border>
    <border>
      <left style="thin">
        <color rgb="FFE2E8F0"/>
      </left>
      <right style="thin">
        <color rgb="FFCAD5E2"/>
      </right>
      <top style="thin">
        <color rgb="FFCAD5E2"/>
      </top>
      <bottom style="thin">
        <color rgb="FFE2E8F0"/>
      </bottom>
      <diagonal/>
    </border>
    <border>
      <left style="thin">
        <color rgb="FFCAD5E2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CAD5E2"/>
      </right>
      <top style="thin">
        <color rgb="FFE2E8F0"/>
      </top>
      <bottom style="thin">
        <color rgb="FFE2E8F0"/>
      </bottom>
      <diagonal/>
    </border>
    <border>
      <left style="thin">
        <color rgb="FFCAD5E2"/>
      </left>
      <right style="thin">
        <color rgb="FFE2E8F0"/>
      </right>
      <top style="thin">
        <color rgb="FFE2E8F0"/>
      </top>
      <bottom style="thin">
        <color rgb="FFCAD5E2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CAD5E2"/>
      </bottom>
      <diagonal/>
    </border>
    <border>
      <left style="thin">
        <color rgb="FFE2E8F0"/>
      </left>
      <right style="thin">
        <color rgb="FFCAD5E2"/>
      </right>
      <top style="thin">
        <color rgb="FFE2E8F0"/>
      </top>
      <bottom style="thin">
        <color rgb="FFCAD5E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6" borderId="14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7" borderId="17" xfId="0" applyFill="1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6">
    <dxf>
      <font>
        <b/>
        <color rgb="FFDC2626"/>
      </font>
    </dxf>
    <dxf>
      <font>
        <b/>
        <color rgb="FFD97706"/>
      </font>
    </dxf>
    <dxf>
      <font>
        <b/>
        <color rgb="FF16A34A"/>
      </font>
    </dxf>
    <dxf>
      <font>
        <b/>
        <color rgb="FFDC2626"/>
      </font>
    </dxf>
    <dxf>
      <font>
        <b/>
        <color rgb="FFD97706"/>
      </font>
    </dxf>
    <dxf>
      <font>
        <b/>
        <color rgb="FF16A34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aluationTable" displayName="EvaluationTable" ref="A4:J69">
  <autoFilter ref="A4:J69" xr:uid="{00000000-0009-0000-0100-000001000000}"/>
  <tableColumns count="10">
    <tableColumn id="1" xr3:uid="{00000000-0010-0000-0000-000001000000}" name="#"/>
    <tableColumn id="2" xr3:uid="{00000000-0010-0000-0000-000002000000}" name="Group"/>
    <tableColumn id="3" xr3:uid="{00000000-0010-0000-0000-000003000000}" name="Category"/>
    <tableColumn id="4" xr3:uid="{00000000-0010-0000-0000-000004000000}" name="Question"/>
    <tableColumn id="5" xr3:uid="{00000000-0010-0000-0000-000005000000}" name="Expected Behavior"/>
    <tableColumn id="6" xr3:uid="{00000000-0010-0000-0000-000006000000}" name="Run 1"/>
    <tableColumn id="7" xr3:uid="{00000000-0010-0000-0000-000007000000}" name="Run 2"/>
    <tableColumn id="8" xr3:uid="{00000000-0010-0000-0000-000008000000}" name="Run 3"/>
    <tableColumn id="9" xr3:uid="{00000000-0010-0000-0000-000009000000}" name="Average Score"/>
    <tableColumn id="10" xr3:uid="{00000000-0010-0000-0000-00000A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oreSettings" displayName="ScoreSettings" ref="A1:C4">
  <tableColumns count="3">
    <tableColumn id="1" xr3:uid="{00000000-0010-0000-0100-000001000000}" name="Dropdown Value"/>
    <tableColumn id="2" xr3:uid="{00000000-0010-0000-0100-000002000000}" name="Score"/>
    <tableColumn id="3" xr3:uid="{00000000-0010-0000-0100-000003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workbookViewId="0">
      <selection sqref="A1:H1"/>
    </sheetView>
  </sheetViews>
  <sheetFormatPr baseColWidth="10" defaultColWidth="8.83203125" defaultRowHeight="15"/>
  <cols>
    <col min="1" max="1" width="24" customWidth="1"/>
    <col min="2" max="2" width="18" customWidth="1"/>
    <col min="3" max="3" width="3" customWidth="1"/>
    <col min="4" max="4" width="18" customWidth="1"/>
    <col min="5" max="6" width="15" customWidth="1"/>
    <col min="7" max="8" width="16" customWidth="1"/>
  </cols>
  <sheetData>
    <row r="1" spans="1:8" ht="30" customHeight="1">
      <c r="A1" s="32" t="s">
        <v>0</v>
      </c>
      <c r="B1" s="33"/>
      <c r="C1" s="33"/>
      <c r="D1" s="33"/>
      <c r="E1" s="33"/>
      <c r="F1" s="33"/>
      <c r="G1" s="33"/>
      <c r="H1" s="33"/>
    </row>
    <row r="2" spans="1:8">
      <c r="A2" s="34" t="s">
        <v>1</v>
      </c>
      <c r="B2" s="35"/>
      <c r="C2" s="35"/>
      <c r="D2" s="35"/>
      <c r="E2" s="35"/>
      <c r="F2" s="35"/>
      <c r="G2" s="35"/>
      <c r="H2" s="35"/>
    </row>
    <row r="3" spans="1:8">
      <c r="A3" s="1"/>
      <c r="B3" s="1"/>
      <c r="C3" s="1"/>
      <c r="D3" s="1"/>
      <c r="E3" s="1"/>
      <c r="F3" s="1"/>
      <c r="G3" s="1"/>
      <c r="H3" s="1"/>
    </row>
    <row r="4" spans="1:8" ht="32">
      <c r="A4" s="2" t="s">
        <v>2</v>
      </c>
      <c r="B4" s="2" t="s">
        <v>3</v>
      </c>
      <c r="C4" s="1"/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16">
      <c r="A5" s="3" t="s">
        <v>9</v>
      </c>
      <c r="B5" s="4">
        <f>COUNTA('Test Questions'!$A$5:$A$69)</f>
        <v>65</v>
      </c>
      <c r="C5" s="1"/>
      <c r="D5" s="3" t="s">
        <v>10</v>
      </c>
      <c r="E5" s="4">
        <f>COUNTIF('Test Questions'!$C$5:$C$69,D5)</f>
        <v>48</v>
      </c>
      <c r="F5" s="4">
        <f>COUNTIFS('Test Questions'!$C$5:$C$69,D5,'Test Questions'!$F$5:$F$69,"Correct")+COUNTIFS('Test Questions'!$C$5:$C$69,D5,'Test Questions'!$G$5:$G$69,"Correct")+COUNTIFS('Test Questions'!$C$5:$C$69,D5,'Test Questions'!$H$5:$H$69,"Correct")+COUNTIFS('Test Questions'!$C$5:$C$69,D5,'Test Questions'!$F$5:$F$69,"Partial")+COUNTIFS('Test Questions'!$C$5:$C$69,D5,'Test Questions'!$G$5:$G$69,"Partial")+COUNTIFS('Test Questions'!$C$5:$C$69,D5,'Test Questions'!$H$5:$H$69,"Partial")+COUNTIFS('Test Questions'!$C$5:$C$69,D5,'Test Questions'!$F$5:$F$69,"Wrong")+COUNTIFS('Test Questions'!$C$5:$C$69,D5,'Test Questions'!$G$5:$G$69,"Wrong")+COUNTIFS('Test Questions'!$C$5:$C$69,D5,'Test Questions'!$H$5:$H$69,"Wrong")</f>
        <v>4</v>
      </c>
      <c r="G5" s="5">
        <f>IFERROR((COUNTIFS('Test Questions'!$C$5:$C$69,D5,'Test Questions'!$F$5:$F$69,"Correct")+COUNTIFS('Test Questions'!$C$5:$C$69,D5,'Test Questions'!$G$5:$G$69,"Correct")+COUNTIFS('Test Questions'!$C$5:$C$69,D5,'Test Questions'!$H$5:$H$69,"Correct")+(0.5*(COUNTIFS('Test Questions'!$C$5:$C$69,D5,'Test Questions'!$F$5:$F$69,"Partial")+COUNTIFS('Test Questions'!$C$5:$C$69,D5,'Test Questions'!$G$5:$G$69,"Partial")+COUNTIFS('Test Questions'!$C$5:$C$69,D5,'Test Questions'!$H$5:$H$69,"Partial"))))/(COUNTIFS('Test Questions'!$C$5:$C$69,D5,'Test Questions'!$F$5:$F$69,"Correct")+COUNTIFS('Test Questions'!$C$5:$C$69,D5,'Test Questions'!$G$5:$G$69,"Correct")+COUNTIFS('Test Questions'!$C$5:$C$69,D5,'Test Questions'!$H$5:$H$69,"Correct")+COUNTIFS('Test Questions'!$C$5:$C$69,D5,'Test Questions'!$F$5:$F$69,"Partial")+COUNTIFS('Test Questions'!$C$5:$C$69,D5,'Test Questions'!$G$5:$G$69,"Partial")+COUNTIFS('Test Questions'!$C$5:$C$69,D5,'Test Questions'!$H$5:$H$69,"Partial")+COUNTIFS('Test Questions'!$C$5:$C$69,D5,'Test Questions'!$F$5:$F$69,"Wrong")+COUNTIFS('Test Questions'!$C$5:$C$69,D5,'Test Questions'!$G$5:$G$69,"Wrong")+COUNTIFS('Test Questions'!$C$5:$C$69,D5,'Test Questions'!$H$5:$H$69,"Wrong")),0)</f>
        <v>1</v>
      </c>
      <c r="H5" s="6" t="s">
        <v>11</v>
      </c>
    </row>
    <row r="6" spans="1:8" ht="16">
      <c r="A6" s="3" t="s">
        <v>12</v>
      </c>
      <c r="B6" s="4">
        <f>B5*3</f>
        <v>195</v>
      </c>
      <c r="C6" s="1"/>
      <c r="D6" s="3" t="s">
        <v>13</v>
      </c>
      <c r="E6" s="4">
        <f>COUNTIF('Test Questions'!$C$5:$C$69,D6)</f>
        <v>10</v>
      </c>
      <c r="F6" s="4">
        <f>COUNTIFS('Test Questions'!$C$5:$C$69,D6,'Test Questions'!$F$5:$F$69,"Correct")+COUNTIFS('Test Questions'!$C$5:$C$69,D6,'Test Questions'!$G$5:$G$69,"Correct")+COUNTIFS('Test Questions'!$C$5:$C$69,D6,'Test Questions'!$H$5:$H$69,"Correct")+COUNTIFS('Test Questions'!$C$5:$C$69,D6,'Test Questions'!$F$5:$F$69,"Partial")+COUNTIFS('Test Questions'!$C$5:$C$69,D6,'Test Questions'!$G$5:$G$69,"Partial")+COUNTIFS('Test Questions'!$C$5:$C$69,D6,'Test Questions'!$H$5:$H$69,"Partial")+COUNTIFS('Test Questions'!$C$5:$C$69,D6,'Test Questions'!$F$5:$F$69,"Wrong")+COUNTIFS('Test Questions'!$C$5:$C$69,D6,'Test Questions'!$G$5:$G$69,"Wrong")+COUNTIFS('Test Questions'!$C$5:$C$69,D6,'Test Questions'!$H$5:$H$69,"Wrong")</f>
        <v>0</v>
      </c>
      <c r="G6" s="5">
        <f>IFERROR((COUNTIFS('Test Questions'!$C$5:$C$69,D6,'Test Questions'!$F$5:$F$69,"Correct")+COUNTIFS('Test Questions'!$C$5:$C$69,D6,'Test Questions'!$G$5:$G$69,"Correct")+COUNTIFS('Test Questions'!$C$5:$C$69,D6,'Test Questions'!$H$5:$H$69,"Correct")+(0.5*(COUNTIFS('Test Questions'!$C$5:$C$69,D6,'Test Questions'!$F$5:$F$69,"Partial")+COUNTIFS('Test Questions'!$C$5:$C$69,D6,'Test Questions'!$G$5:$G$69,"Partial")+COUNTIFS('Test Questions'!$C$5:$C$69,D6,'Test Questions'!$H$5:$H$69,"Partial"))))/(COUNTIFS('Test Questions'!$C$5:$C$69,D6,'Test Questions'!$F$5:$F$69,"Correct")+COUNTIFS('Test Questions'!$C$5:$C$69,D6,'Test Questions'!$G$5:$G$69,"Correct")+COUNTIFS('Test Questions'!$C$5:$C$69,D6,'Test Questions'!$H$5:$H$69,"Correct")+COUNTIFS('Test Questions'!$C$5:$C$69,D6,'Test Questions'!$F$5:$F$69,"Partial")+COUNTIFS('Test Questions'!$C$5:$C$69,D6,'Test Questions'!$G$5:$G$69,"Partial")+COUNTIFS('Test Questions'!$C$5:$C$69,D6,'Test Questions'!$H$5:$H$69,"Partial")+COUNTIFS('Test Questions'!$C$5:$C$69,D6,'Test Questions'!$F$5:$F$69,"Wrong")+COUNTIFS('Test Questions'!$C$5:$C$69,D6,'Test Questions'!$G$5:$G$69,"Wrong")+COUNTIFS('Test Questions'!$C$5:$C$69,D6,'Test Questions'!$H$5:$H$69,"Wrong")),0)</f>
        <v>0</v>
      </c>
      <c r="H6" s="6" t="s">
        <v>14</v>
      </c>
    </row>
    <row r="7" spans="1:8" ht="16">
      <c r="A7" s="3" t="s">
        <v>15</v>
      </c>
      <c r="B7" s="4">
        <f>COUNTIF('Test Questions'!$F$5:$H$69,"Correct")+COUNTIF('Test Questions'!$F$5:$H$69,"Partial")+COUNTIF('Test Questions'!$F$5:$H$69,"Wrong")</f>
        <v>4</v>
      </c>
      <c r="C7" s="1"/>
      <c r="D7" s="3" t="s">
        <v>16</v>
      </c>
      <c r="E7" s="4">
        <f>COUNTIF('Test Questions'!$C$5:$C$69,D7)</f>
        <v>7</v>
      </c>
      <c r="F7" s="4">
        <f>COUNTIFS('Test Questions'!$C$5:$C$69,D7,'Test Questions'!$F$5:$F$69,"Correct")+COUNTIFS('Test Questions'!$C$5:$C$69,D7,'Test Questions'!$G$5:$G$69,"Correct")+COUNTIFS('Test Questions'!$C$5:$C$69,D7,'Test Questions'!$H$5:$H$69,"Correct")+COUNTIFS('Test Questions'!$C$5:$C$69,D7,'Test Questions'!$F$5:$F$69,"Partial")+COUNTIFS('Test Questions'!$C$5:$C$69,D7,'Test Questions'!$G$5:$G$69,"Partial")+COUNTIFS('Test Questions'!$C$5:$C$69,D7,'Test Questions'!$H$5:$H$69,"Partial")+COUNTIFS('Test Questions'!$C$5:$C$69,D7,'Test Questions'!$F$5:$F$69,"Wrong")+COUNTIFS('Test Questions'!$C$5:$C$69,D7,'Test Questions'!$G$5:$G$69,"Wrong")+COUNTIFS('Test Questions'!$C$5:$C$69,D7,'Test Questions'!$H$5:$H$69,"Wrong")</f>
        <v>0</v>
      </c>
      <c r="G7" s="5">
        <f>IFERROR((COUNTIFS('Test Questions'!$C$5:$C$69,D7,'Test Questions'!$F$5:$F$69,"Correct")+COUNTIFS('Test Questions'!$C$5:$C$69,D7,'Test Questions'!$G$5:$G$69,"Correct")+COUNTIFS('Test Questions'!$C$5:$C$69,D7,'Test Questions'!$H$5:$H$69,"Correct")+(0.5*(COUNTIFS('Test Questions'!$C$5:$C$69,D7,'Test Questions'!$F$5:$F$69,"Partial")+COUNTIFS('Test Questions'!$C$5:$C$69,D7,'Test Questions'!$G$5:$G$69,"Partial")+COUNTIFS('Test Questions'!$C$5:$C$69,D7,'Test Questions'!$H$5:$H$69,"Partial"))))/(COUNTIFS('Test Questions'!$C$5:$C$69,D7,'Test Questions'!$F$5:$F$69,"Correct")+COUNTIFS('Test Questions'!$C$5:$C$69,D7,'Test Questions'!$G$5:$G$69,"Correct")+COUNTIFS('Test Questions'!$C$5:$C$69,D7,'Test Questions'!$H$5:$H$69,"Correct")+COUNTIFS('Test Questions'!$C$5:$C$69,D7,'Test Questions'!$F$5:$F$69,"Partial")+COUNTIFS('Test Questions'!$C$5:$C$69,D7,'Test Questions'!$G$5:$G$69,"Partial")+COUNTIFS('Test Questions'!$C$5:$C$69,D7,'Test Questions'!$H$5:$H$69,"Partial")+COUNTIFS('Test Questions'!$C$5:$C$69,D7,'Test Questions'!$F$5:$F$69,"Wrong")+COUNTIFS('Test Questions'!$C$5:$C$69,D7,'Test Questions'!$G$5:$G$69,"Wrong")+COUNTIFS('Test Questions'!$C$5:$C$69,D7,'Test Questions'!$H$5:$H$69,"Wrong")),0)</f>
        <v>0</v>
      </c>
      <c r="H7" s="6" t="s">
        <v>17</v>
      </c>
    </row>
    <row r="8" spans="1:8" ht="16">
      <c r="A8" s="3" t="s">
        <v>18</v>
      </c>
      <c r="B8" s="5">
        <f>IFERROR((COUNTIF('Test Questions'!$F$5:$H$69,"Correct")+(0.5*COUNTIF('Test Questions'!$F$5:$H$69,"Partial")))/B7,0)</f>
        <v>1</v>
      </c>
      <c r="C8" s="1"/>
      <c r="D8" s="3" t="s">
        <v>19</v>
      </c>
      <c r="E8" s="4">
        <f>B5</f>
        <v>65</v>
      </c>
      <c r="F8" s="4">
        <f>B7</f>
        <v>4</v>
      </c>
      <c r="G8" s="5">
        <f>B8</f>
        <v>1</v>
      </c>
      <c r="H8" s="6"/>
    </row>
    <row r="9" spans="1:8" ht="16">
      <c r="A9" s="3" t="s">
        <v>20</v>
      </c>
      <c r="B9" s="5">
        <f>IFERROR(COUNTIF('Test Questions'!$F$5:$H$69,"Correct")/B7,0)</f>
        <v>1</v>
      </c>
      <c r="C9" s="1"/>
      <c r="D9" s="1"/>
      <c r="E9" s="1"/>
      <c r="F9" s="1"/>
      <c r="G9" s="1"/>
      <c r="H9" s="1"/>
    </row>
    <row r="10" spans="1:8" ht="16">
      <c r="A10" s="3" t="s">
        <v>21</v>
      </c>
      <c r="B10" s="5">
        <f>IFERROR(COUNTIF('Test Questions'!$F$5:$H$69,"Partial")/B7,0)</f>
        <v>0</v>
      </c>
      <c r="C10" s="1"/>
      <c r="D10" s="1"/>
      <c r="E10" s="1"/>
      <c r="F10" s="1"/>
      <c r="G10" s="1"/>
      <c r="H10" s="1"/>
    </row>
    <row r="11" spans="1:8" ht="16">
      <c r="A11" s="3" t="s">
        <v>22</v>
      </c>
      <c r="B11" s="5">
        <f>IFERROR(COUNTIF('Test Questions'!$F$5:$H$69,"Wrong")/B7,0)</f>
        <v>0</v>
      </c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36" t="s">
        <v>23</v>
      </c>
      <c r="B13" s="37"/>
      <c r="C13" s="37"/>
      <c r="D13" s="37"/>
      <c r="E13" s="37"/>
      <c r="F13" s="37"/>
      <c r="G13" s="37"/>
      <c r="H13" s="38"/>
    </row>
    <row r="14" spans="1:8" ht="16">
      <c r="A14" s="7" t="s">
        <v>24</v>
      </c>
      <c r="B14" s="39" t="s">
        <v>25</v>
      </c>
      <c r="C14" s="39"/>
      <c r="D14" s="39"/>
      <c r="E14" s="39"/>
      <c r="F14" s="39"/>
      <c r="G14" s="39"/>
      <c r="H14" s="40"/>
    </row>
    <row r="15" spans="1:8" ht="16">
      <c r="A15" s="7" t="s">
        <v>26</v>
      </c>
      <c r="B15" s="39" t="s">
        <v>27</v>
      </c>
      <c r="C15" s="39"/>
      <c r="D15" s="39"/>
      <c r="E15" s="39"/>
      <c r="F15" s="39"/>
      <c r="G15" s="39"/>
      <c r="H15" s="40"/>
    </row>
    <row r="16" spans="1:8" ht="16">
      <c r="A16" s="7" t="s">
        <v>28</v>
      </c>
      <c r="B16" s="39" t="s">
        <v>29</v>
      </c>
      <c r="C16" s="39"/>
      <c r="D16" s="39"/>
      <c r="E16" s="39"/>
      <c r="F16" s="39"/>
      <c r="G16" s="39"/>
      <c r="H16" s="40"/>
    </row>
    <row r="17" spans="1:8" ht="16">
      <c r="A17" s="7" t="s">
        <v>30</v>
      </c>
      <c r="B17" s="39" t="s">
        <v>31</v>
      </c>
      <c r="C17" s="39"/>
      <c r="D17" s="39"/>
      <c r="E17" s="39"/>
      <c r="F17" s="39"/>
      <c r="G17" s="39"/>
      <c r="H17" s="40"/>
    </row>
    <row r="18" spans="1:8" ht="16">
      <c r="A18" s="8" t="s">
        <v>32</v>
      </c>
      <c r="B18" s="41" t="s">
        <v>33</v>
      </c>
      <c r="C18" s="41"/>
      <c r="D18" s="41"/>
      <c r="E18" s="41"/>
      <c r="F18" s="41"/>
      <c r="G18" s="41"/>
      <c r="H18" s="42"/>
    </row>
  </sheetData>
  <mergeCells count="8">
    <mergeCell ref="B16:H16"/>
    <mergeCell ref="B17:H17"/>
    <mergeCell ref="B18:H18"/>
    <mergeCell ref="A1:H1"/>
    <mergeCell ref="A2:H2"/>
    <mergeCell ref="A13:H13"/>
    <mergeCell ref="B14:H14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"/>
  <sheetViews>
    <sheetView showGridLines="0" tabSelected="1" topLeftCell="C2" workbookViewId="0">
      <selection activeCell="D16" sqref="D16"/>
    </sheetView>
  </sheetViews>
  <sheetFormatPr baseColWidth="10" defaultColWidth="8.83203125" defaultRowHeight="15"/>
  <cols>
    <col min="1" max="1" width="6" customWidth="1"/>
    <col min="2" max="2" width="26" customWidth="1"/>
    <col min="3" max="3" width="16" customWidth="1"/>
    <col min="4" max="4" width="42" customWidth="1"/>
    <col min="5" max="5" width="46" customWidth="1"/>
    <col min="6" max="8" width="12" customWidth="1"/>
    <col min="9" max="9" width="14" customWidth="1"/>
    <col min="10" max="10" width="28" customWidth="1"/>
  </cols>
  <sheetData>
    <row r="1" spans="1:10" ht="28" customHeight="1">
      <c r="A1" s="43" t="s">
        <v>34</v>
      </c>
      <c r="B1" s="33"/>
      <c r="C1" s="33"/>
      <c r="D1" s="33"/>
      <c r="E1" s="33"/>
      <c r="F1" s="33"/>
      <c r="G1" s="33"/>
      <c r="H1" s="33"/>
      <c r="I1" s="33"/>
      <c r="J1" s="33"/>
    </row>
    <row r="2" spans="1:10">
      <c r="A2" s="44" t="s">
        <v>35</v>
      </c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>
      <c r="A4" s="10" t="s">
        <v>36</v>
      </c>
      <c r="B4" s="11" t="s">
        <v>37</v>
      </c>
      <c r="C4" s="11" t="s">
        <v>4</v>
      </c>
      <c r="D4" s="11" t="s">
        <v>38</v>
      </c>
      <c r="E4" s="11" t="s">
        <v>39</v>
      </c>
      <c r="F4" s="11" t="s">
        <v>40</v>
      </c>
      <c r="G4" s="11" t="s">
        <v>41</v>
      </c>
      <c r="H4" s="11" t="s">
        <v>42</v>
      </c>
      <c r="I4" s="11" t="s">
        <v>7</v>
      </c>
      <c r="J4" s="12" t="s">
        <v>43</v>
      </c>
    </row>
    <row r="5" spans="1:10" ht="34" customHeight="1">
      <c r="A5" s="13">
        <v>1</v>
      </c>
      <c r="B5" s="14" t="s">
        <v>44</v>
      </c>
      <c r="C5" s="15" t="s">
        <v>10</v>
      </c>
      <c r="D5" s="16" t="s">
        <v>45</v>
      </c>
      <c r="E5" s="16" t="s">
        <v>46</v>
      </c>
      <c r="F5" s="17" t="s">
        <v>24</v>
      </c>
      <c r="G5" s="17"/>
      <c r="H5" s="17"/>
      <c r="I5" s="18">
        <f t="shared" ref="I5:I36" si="0">IF((COUNTIF(F5:H5,"Correct")+COUNTIF(F5:H5,"Partial")+COUNTIF(F5:H5,"Wrong"))=0,"",(COUNTIF(F5:H5,"Correct")+(0.5*COUNTIF(F5:H5,"Partial")))/(COUNTIF(F5:H5,"Correct")+COUNTIF(F5:H5,"Partial")+COUNTIF(F5:H5,"Wrong")))</f>
        <v>1</v>
      </c>
      <c r="J5" s="19"/>
    </row>
    <row r="6" spans="1:10" ht="34" customHeight="1">
      <c r="A6" s="13">
        <v>2</v>
      </c>
      <c r="B6" s="14" t="s">
        <v>44</v>
      </c>
      <c r="C6" s="15" t="s">
        <v>10</v>
      </c>
      <c r="D6" s="16" t="s">
        <v>47</v>
      </c>
      <c r="E6" s="16" t="s">
        <v>46</v>
      </c>
      <c r="F6" s="17" t="s">
        <v>24</v>
      </c>
      <c r="G6" s="17"/>
      <c r="H6" s="17"/>
      <c r="I6" s="18">
        <f t="shared" si="0"/>
        <v>1</v>
      </c>
      <c r="J6" s="19"/>
    </row>
    <row r="7" spans="1:10" ht="34" customHeight="1">
      <c r="A7" s="13">
        <v>3</v>
      </c>
      <c r="B7" s="14" t="s">
        <v>44</v>
      </c>
      <c r="C7" s="15" t="s">
        <v>10</v>
      </c>
      <c r="D7" s="16" t="s">
        <v>48</v>
      </c>
      <c r="E7" s="16" t="s">
        <v>46</v>
      </c>
      <c r="F7" s="17" t="s">
        <v>24</v>
      </c>
      <c r="G7" s="17"/>
      <c r="H7" s="17"/>
      <c r="I7" s="18">
        <f t="shared" si="0"/>
        <v>1</v>
      </c>
      <c r="J7" s="19"/>
    </row>
    <row r="8" spans="1:10" ht="34" customHeight="1">
      <c r="A8" s="13">
        <v>4</v>
      </c>
      <c r="B8" s="14" t="s">
        <v>44</v>
      </c>
      <c r="C8" s="15" t="s">
        <v>10</v>
      </c>
      <c r="D8" s="16" t="s">
        <v>49</v>
      </c>
      <c r="E8" s="16" t="s">
        <v>46</v>
      </c>
      <c r="F8" s="17" t="s">
        <v>24</v>
      </c>
      <c r="G8" s="17"/>
      <c r="H8" s="17"/>
      <c r="I8" s="18">
        <f t="shared" si="0"/>
        <v>1</v>
      </c>
      <c r="J8" s="19"/>
    </row>
    <row r="9" spans="1:10" ht="34" customHeight="1">
      <c r="A9" s="13">
        <v>5</v>
      </c>
      <c r="B9" s="14" t="s">
        <v>44</v>
      </c>
      <c r="C9" s="15" t="s">
        <v>10</v>
      </c>
      <c r="D9" s="16" t="s">
        <v>50</v>
      </c>
      <c r="E9" s="16" t="s">
        <v>46</v>
      </c>
      <c r="F9" s="17"/>
      <c r="G9" s="17"/>
      <c r="H9" s="17"/>
      <c r="I9" s="18" t="str">
        <f t="shared" si="0"/>
        <v/>
      </c>
      <c r="J9" s="19"/>
    </row>
    <row r="10" spans="1:10" ht="34" customHeight="1">
      <c r="A10" s="13">
        <v>6</v>
      </c>
      <c r="B10" s="14" t="s">
        <v>44</v>
      </c>
      <c r="C10" s="15" t="s">
        <v>10</v>
      </c>
      <c r="D10" s="16" t="s">
        <v>51</v>
      </c>
      <c r="E10" s="16" t="s">
        <v>46</v>
      </c>
      <c r="F10" s="17"/>
      <c r="G10" s="17"/>
      <c r="H10" s="17"/>
      <c r="I10" s="18" t="str">
        <f t="shared" si="0"/>
        <v/>
      </c>
      <c r="J10" s="19"/>
    </row>
    <row r="11" spans="1:10" ht="34" customHeight="1">
      <c r="A11" s="13">
        <v>7</v>
      </c>
      <c r="B11" s="14" t="s">
        <v>52</v>
      </c>
      <c r="C11" s="15" t="s">
        <v>10</v>
      </c>
      <c r="D11" s="16" t="s">
        <v>53</v>
      </c>
      <c r="E11" s="16" t="s">
        <v>46</v>
      </c>
      <c r="F11" s="17"/>
      <c r="G11" s="17"/>
      <c r="H11" s="17"/>
      <c r="I11" s="18" t="str">
        <f t="shared" si="0"/>
        <v/>
      </c>
      <c r="J11" s="19"/>
    </row>
    <row r="12" spans="1:10" ht="34" customHeight="1">
      <c r="A12" s="13">
        <v>8</v>
      </c>
      <c r="B12" s="14" t="s">
        <v>52</v>
      </c>
      <c r="C12" s="15" t="s">
        <v>10</v>
      </c>
      <c r="D12" s="16" t="s">
        <v>54</v>
      </c>
      <c r="E12" s="16" t="s">
        <v>46</v>
      </c>
      <c r="F12" s="17"/>
      <c r="G12" s="17"/>
      <c r="H12" s="17"/>
      <c r="I12" s="18" t="str">
        <f t="shared" si="0"/>
        <v/>
      </c>
      <c r="J12" s="19"/>
    </row>
    <row r="13" spans="1:10" ht="34" customHeight="1">
      <c r="A13" s="13">
        <v>9</v>
      </c>
      <c r="B13" s="14" t="s">
        <v>52</v>
      </c>
      <c r="C13" s="15" t="s">
        <v>10</v>
      </c>
      <c r="D13" s="16" t="s">
        <v>55</v>
      </c>
      <c r="E13" s="16" t="s">
        <v>46</v>
      </c>
      <c r="F13" s="17"/>
      <c r="G13" s="17"/>
      <c r="H13" s="17"/>
      <c r="I13" s="18" t="str">
        <f t="shared" si="0"/>
        <v/>
      </c>
      <c r="J13" s="19"/>
    </row>
    <row r="14" spans="1:10" ht="34" customHeight="1">
      <c r="A14" s="13">
        <v>10</v>
      </c>
      <c r="B14" s="14" t="s">
        <v>52</v>
      </c>
      <c r="C14" s="15" t="s">
        <v>10</v>
      </c>
      <c r="D14" s="16" t="s">
        <v>56</v>
      </c>
      <c r="E14" s="16" t="s">
        <v>46</v>
      </c>
      <c r="F14" s="17"/>
      <c r="G14" s="17"/>
      <c r="H14" s="17"/>
      <c r="I14" s="18" t="str">
        <f t="shared" si="0"/>
        <v/>
      </c>
      <c r="J14" s="19"/>
    </row>
    <row r="15" spans="1:10" ht="34" customHeight="1">
      <c r="A15" s="13">
        <v>11</v>
      </c>
      <c r="B15" s="14" t="s">
        <v>52</v>
      </c>
      <c r="C15" s="15" t="s">
        <v>10</v>
      </c>
      <c r="D15" s="16" t="s">
        <v>57</v>
      </c>
      <c r="E15" s="16" t="s">
        <v>46</v>
      </c>
      <c r="F15" s="17"/>
      <c r="G15" s="17"/>
      <c r="H15" s="17"/>
      <c r="I15" s="18" t="str">
        <f t="shared" si="0"/>
        <v/>
      </c>
      <c r="J15" s="19"/>
    </row>
    <row r="16" spans="1:10" ht="34" customHeight="1">
      <c r="A16" s="13">
        <v>12</v>
      </c>
      <c r="B16" s="14" t="s">
        <v>52</v>
      </c>
      <c r="C16" s="15" t="s">
        <v>10</v>
      </c>
      <c r="D16" s="16" t="s">
        <v>58</v>
      </c>
      <c r="E16" s="16" t="s">
        <v>46</v>
      </c>
      <c r="F16" s="17"/>
      <c r="G16" s="17"/>
      <c r="H16" s="17"/>
      <c r="I16" s="18" t="str">
        <f t="shared" si="0"/>
        <v/>
      </c>
      <c r="J16" s="19"/>
    </row>
    <row r="17" spans="1:10" ht="34" customHeight="1">
      <c r="A17" s="13">
        <v>13</v>
      </c>
      <c r="B17" s="14" t="s">
        <v>59</v>
      </c>
      <c r="C17" s="15" t="s">
        <v>10</v>
      </c>
      <c r="D17" s="16" t="s">
        <v>60</v>
      </c>
      <c r="E17" s="16" t="s">
        <v>46</v>
      </c>
      <c r="F17" s="17"/>
      <c r="G17" s="17"/>
      <c r="H17" s="17"/>
      <c r="I17" s="18" t="str">
        <f t="shared" si="0"/>
        <v/>
      </c>
      <c r="J17" s="19"/>
    </row>
    <row r="18" spans="1:10" ht="34" customHeight="1">
      <c r="A18" s="13">
        <v>14</v>
      </c>
      <c r="B18" s="14" t="s">
        <v>59</v>
      </c>
      <c r="C18" s="15" t="s">
        <v>10</v>
      </c>
      <c r="D18" s="16" t="s">
        <v>61</v>
      </c>
      <c r="E18" s="16" t="s">
        <v>46</v>
      </c>
      <c r="F18" s="17"/>
      <c r="G18" s="17"/>
      <c r="H18" s="17"/>
      <c r="I18" s="18" t="str">
        <f t="shared" si="0"/>
        <v/>
      </c>
      <c r="J18" s="19"/>
    </row>
    <row r="19" spans="1:10" ht="34" customHeight="1">
      <c r="A19" s="13">
        <v>15</v>
      </c>
      <c r="B19" s="14" t="s">
        <v>59</v>
      </c>
      <c r="C19" s="15" t="s">
        <v>10</v>
      </c>
      <c r="D19" s="16" t="s">
        <v>62</v>
      </c>
      <c r="E19" s="16" t="s">
        <v>46</v>
      </c>
      <c r="F19" s="17"/>
      <c r="G19" s="17"/>
      <c r="H19" s="17"/>
      <c r="I19" s="18" t="str">
        <f t="shared" si="0"/>
        <v/>
      </c>
      <c r="J19" s="19"/>
    </row>
    <row r="20" spans="1:10" ht="34" customHeight="1">
      <c r="A20" s="13">
        <v>16</v>
      </c>
      <c r="B20" s="14" t="s">
        <v>59</v>
      </c>
      <c r="C20" s="15" t="s">
        <v>10</v>
      </c>
      <c r="D20" s="16" t="s">
        <v>63</v>
      </c>
      <c r="E20" s="16" t="s">
        <v>46</v>
      </c>
      <c r="F20" s="17"/>
      <c r="G20" s="17"/>
      <c r="H20" s="17"/>
      <c r="I20" s="18" t="str">
        <f t="shared" si="0"/>
        <v/>
      </c>
      <c r="J20" s="19"/>
    </row>
    <row r="21" spans="1:10" ht="34" customHeight="1">
      <c r="A21" s="13">
        <v>17</v>
      </c>
      <c r="B21" s="14" t="s">
        <v>59</v>
      </c>
      <c r="C21" s="15" t="s">
        <v>10</v>
      </c>
      <c r="D21" s="16" t="s">
        <v>64</v>
      </c>
      <c r="E21" s="16" t="s">
        <v>46</v>
      </c>
      <c r="F21" s="17"/>
      <c r="G21" s="17"/>
      <c r="H21" s="17"/>
      <c r="I21" s="18" t="str">
        <f t="shared" si="0"/>
        <v/>
      </c>
      <c r="J21" s="19"/>
    </row>
    <row r="22" spans="1:10" ht="34" customHeight="1">
      <c r="A22" s="13">
        <v>18</v>
      </c>
      <c r="B22" s="14" t="s">
        <v>59</v>
      </c>
      <c r="C22" s="15" t="s">
        <v>10</v>
      </c>
      <c r="D22" s="16" t="s">
        <v>65</v>
      </c>
      <c r="E22" s="16" t="s">
        <v>46</v>
      </c>
      <c r="F22" s="17"/>
      <c r="G22" s="17"/>
      <c r="H22" s="17"/>
      <c r="I22" s="18" t="str">
        <f t="shared" si="0"/>
        <v/>
      </c>
      <c r="J22" s="19"/>
    </row>
    <row r="23" spans="1:10" ht="34" customHeight="1">
      <c r="A23" s="13">
        <v>19</v>
      </c>
      <c r="B23" s="14" t="s">
        <v>59</v>
      </c>
      <c r="C23" s="15" t="s">
        <v>10</v>
      </c>
      <c r="D23" s="16" t="s">
        <v>66</v>
      </c>
      <c r="E23" s="16" t="s">
        <v>46</v>
      </c>
      <c r="F23" s="17"/>
      <c r="G23" s="17"/>
      <c r="H23" s="17"/>
      <c r="I23" s="18" t="str">
        <f t="shared" si="0"/>
        <v/>
      </c>
      <c r="J23" s="19"/>
    </row>
    <row r="24" spans="1:10" ht="34" customHeight="1">
      <c r="A24" s="13">
        <v>20</v>
      </c>
      <c r="B24" s="14" t="s">
        <v>67</v>
      </c>
      <c r="C24" s="15" t="s">
        <v>10</v>
      </c>
      <c r="D24" s="16" t="s">
        <v>68</v>
      </c>
      <c r="E24" s="16" t="s">
        <v>46</v>
      </c>
      <c r="F24" s="17"/>
      <c r="G24" s="17"/>
      <c r="H24" s="17"/>
      <c r="I24" s="18" t="str">
        <f t="shared" si="0"/>
        <v/>
      </c>
      <c r="J24" s="19"/>
    </row>
    <row r="25" spans="1:10" ht="34" customHeight="1">
      <c r="A25" s="13">
        <v>21</v>
      </c>
      <c r="B25" s="14" t="s">
        <v>67</v>
      </c>
      <c r="C25" s="15" t="s">
        <v>10</v>
      </c>
      <c r="D25" s="16" t="s">
        <v>69</v>
      </c>
      <c r="E25" s="16" t="s">
        <v>46</v>
      </c>
      <c r="F25" s="17"/>
      <c r="G25" s="17"/>
      <c r="H25" s="17"/>
      <c r="I25" s="18" t="str">
        <f t="shared" si="0"/>
        <v/>
      </c>
      <c r="J25" s="19"/>
    </row>
    <row r="26" spans="1:10" ht="34" customHeight="1">
      <c r="A26" s="13">
        <v>22</v>
      </c>
      <c r="B26" s="14" t="s">
        <v>67</v>
      </c>
      <c r="C26" s="15" t="s">
        <v>10</v>
      </c>
      <c r="D26" s="16" t="s">
        <v>70</v>
      </c>
      <c r="E26" s="16" t="s">
        <v>46</v>
      </c>
      <c r="F26" s="17"/>
      <c r="G26" s="17"/>
      <c r="H26" s="17"/>
      <c r="I26" s="18" t="str">
        <f t="shared" si="0"/>
        <v/>
      </c>
      <c r="J26" s="19"/>
    </row>
    <row r="27" spans="1:10" ht="34" customHeight="1">
      <c r="A27" s="13">
        <v>23</v>
      </c>
      <c r="B27" s="14" t="s">
        <v>67</v>
      </c>
      <c r="C27" s="15" t="s">
        <v>10</v>
      </c>
      <c r="D27" s="16" t="s">
        <v>71</v>
      </c>
      <c r="E27" s="16" t="s">
        <v>46</v>
      </c>
      <c r="F27" s="17"/>
      <c r="G27" s="17"/>
      <c r="H27" s="17"/>
      <c r="I27" s="18" t="str">
        <f t="shared" si="0"/>
        <v/>
      </c>
      <c r="J27" s="19"/>
    </row>
    <row r="28" spans="1:10" ht="34" customHeight="1">
      <c r="A28" s="13">
        <v>24</v>
      </c>
      <c r="B28" s="14" t="s">
        <v>67</v>
      </c>
      <c r="C28" s="15" t="s">
        <v>10</v>
      </c>
      <c r="D28" s="16" t="s">
        <v>72</v>
      </c>
      <c r="E28" s="16" t="s">
        <v>46</v>
      </c>
      <c r="F28" s="17"/>
      <c r="G28" s="17"/>
      <c r="H28" s="17"/>
      <c r="I28" s="18" t="str">
        <f t="shared" si="0"/>
        <v/>
      </c>
      <c r="J28" s="19"/>
    </row>
    <row r="29" spans="1:10" ht="34" customHeight="1">
      <c r="A29" s="13">
        <v>25</v>
      </c>
      <c r="B29" s="14" t="s">
        <v>67</v>
      </c>
      <c r="C29" s="15" t="s">
        <v>10</v>
      </c>
      <c r="D29" s="16" t="s">
        <v>73</v>
      </c>
      <c r="E29" s="16" t="s">
        <v>46</v>
      </c>
      <c r="F29" s="17"/>
      <c r="G29" s="17"/>
      <c r="H29" s="17"/>
      <c r="I29" s="18" t="str">
        <f t="shared" si="0"/>
        <v/>
      </c>
      <c r="J29" s="19"/>
    </row>
    <row r="30" spans="1:10" ht="34" customHeight="1">
      <c r="A30" s="13">
        <v>26</v>
      </c>
      <c r="B30" s="14" t="s">
        <v>67</v>
      </c>
      <c r="C30" s="15" t="s">
        <v>10</v>
      </c>
      <c r="D30" s="16" t="s">
        <v>74</v>
      </c>
      <c r="E30" s="16" t="s">
        <v>46</v>
      </c>
      <c r="F30" s="17"/>
      <c r="G30" s="17"/>
      <c r="H30" s="17"/>
      <c r="I30" s="18" t="str">
        <f t="shared" si="0"/>
        <v/>
      </c>
      <c r="J30" s="19"/>
    </row>
    <row r="31" spans="1:10" ht="34" customHeight="1">
      <c r="A31" s="13">
        <v>27</v>
      </c>
      <c r="B31" s="14" t="s">
        <v>67</v>
      </c>
      <c r="C31" s="15" t="s">
        <v>10</v>
      </c>
      <c r="D31" s="16" t="s">
        <v>75</v>
      </c>
      <c r="E31" s="16" t="s">
        <v>46</v>
      </c>
      <c r="F31" s="17"/>
      <c r="G31" s="17"/>
      <c r="H31" s="17"/>
      <c r="I31" s="18" t="str">
        <f t="shared" si="0"/>
        <v/>
      </c>
      <c r="J31" s="19"/>
    </row>
    <row r="32" spans="1:10" ht="34" customHeight="1">
      <c r="A32" s="13">
        <v>28</v>
      </c>
      <c r="B32" s="14" t="s">
        <v>67</v>
      </c>
      <c r="C32" s="15" t="s">
        <v>10</v>
      </c>
      <c r="D32" s="16" t="s">
        <v>76</v>
      </c>
      <c r="E32" s="16" t="s">
        <v>46</v>
      </c>
      <c r="F32" s="17"/>
      <c r="G32" s="17"/>
      <c r="H32" s="17"/>
      <c r="I32" s="18" t="str">
        <f t="shared" si="0"/>
        <v/>
      </c>
      <c r="J32" s="19"/>
    </row>
    <row r="33" spans="1:10" ht="34" customHeight="1">
      <c r="A33" s="13">
        <v>29</v>
      </c>
      <c r="B33" s="14" t="s">
        <v>67</v>
      </c>
      <c r="C33" s="15" t="s">
        <v>10</v>
      </c>
      <c r="D33" s="16" t="s">
        <v>77</v>
      </c>
      <c r="E33" s="16" t="s">
        <v>46</v>
      </c>
      <c r="F33" s="17"/>
      <c r="G33" s="17"/>
      <c r="H33" s="17"/>
      <c r="I33" s="18" t="str">
        <f t="shared" si="0"/>
        <v/>
      </c>
      <c r="J33" s="19"/>
    </row>
    <row r="34" spans="1:10" ht="34" customHeight="1">
      <c r="A34" s="13">
        <v>30</v>
      </c>
      <c r="B34" s="14" t="s">
        <v>67</v>
      </c>
      <c r="C34" s="15" t="s">
        <v>10</v>
      </c>
      <c r="D34" s="16" t="s">
        <v>78</v>
      </c>
      <c r="E34" s="16" t="s">
        <v>46</v>
      </c>
      <c r="F34" s="17"/>
      <c r="G34" s="17"/>
      <c r="H34" s="17"/>
      <c r="I34" s="18" t="str">
        <f t="shared" si="0"/>
        <v/>
      </c>
      <c r="J34" s="19"/>
    </row>
    <row r="35" spans="1:10" ht="34" customHeight="1">
      <c r="A35" s="13">
        <v>31</v>
      </c>
      <c r="B35" s="14" t="s">
        <v>79</v>
      </c>
      <c r="C35" s="15" t="s">
        <v>10</v>
      </c>
      <c r="D35" s="16" t="s">
        <v>80</v>
      </c>
      <c r="E35" s="16" t="s">
        <v>46</v>
      </c>
      <c r="F35" s="17"/>
      <c r="G35" s="17"/>
      <c r="H35" s="17"/>
      <c r="I35" s="18" t="str">
        <f t="shared" si="0"/>
        <v/>
      </c>
      <c r="J35" s="19"/>
    </row>
    <row r="36" spans="1:10" ht="34" customHeight="1">
      <c r="A36" s="13">
        <v>32</v>
      </c>
      <c r="B36" s="14" t="s">
        <v>79</v>
      </c>
      <c r="C36" s="15" t="s">
        <v>10</v>
      </c>
      <c r="D36" s="16" t="s">
        <v>81</v>
      </c>
      <c r="E36" s="16" t="s">
        <v>46</v>
      </c>
      <c r="F36" s="17"/>
      <c r="G36" s="17"/>
      <c r="H36" s="17"/>
      <c r="I36" s="18" t="str">
        <f t="shared" si="0"/>
        <v/>
      </c>
      <c r="J36" s="19"/>
    </row>
    <row r="37" spans="1:10" ht="34" customHeight="1">
      <c r="A37" s="13">
        <v>33</v>
      </c>
      <c r="B37" s="14" t="s">
        <v>79</v>
      </c>
      <c r="C37" s="15" t="s">
        <v>10</v>
      </c>
      <c r="D37" s="16" t="s">
        <v>82</v>
      </c>
      <c r="E37" s="16" t="s">
        <v>46</v>
      </c>
      <c r="F37" s="17"/>
      <c r="G37" s="17"/>
      <c r="H37" s="17"/>
      <c r="I37" s="18" t="str">
        <f t="shared" ref="I37:I68" si="1">IF((COUNTIF(F37:H37,"Correct")+COUNTIF(F37:H37,"Partial")+COUNTIF(F37:H37,"Wrong"))=0,"",(COUNTIF(F37:H37,"Correct")+(0.5*COUNTIF(F37:H37,"Partial")))/(COUNTIF(F37:H37,"Correct")+COUNTIF(F37:H37,"Partial")+COUNTIF(F37:H37,"Wrong")))</f>
        <v/>
      </c>
      <c r="J37" s="19"/>
    </row>
    <row r="38" spans="1:10" ht="34" customHeight="1">
      <c r="A38" s="13">
        <v>34</v>
      </c>
      <c r="B38" s="14" t="s">
        <v>79</v>
      </c>
      <c r="C38" s="15" t="s">
        <v>10</v>
      </c>
      <c r="D38" s="16" t="s">
        <v>83</v>
      </c>
      <c r="E38" s="16" t="s">
        <v>46</v>
      </c>
      <c r="F38" s="17"/>
      <c r="G38" s="17"/>
      <c r="H38" s="17"/>
      <c r="I38" s="18" t="str">
        <f t="shared" si="1"/>
        <v/>
      </c>
      <c r="J38" s="19"/>
    </row>
    <row r="39" spans="1:10" ht="34" customHeight="1">
      <c r="A39" s="13">
        <v>35</v>
      </c>
      <c r="B39" s="14" t="s">
        <v>79</v>
      </c>
      <c r="C39" s="15" t="s">
        <v>10</v>
      </c>
      <c r="D39" s="16" t="s">
        <v>84</v>
      </c>
      <c r="E39" s="16" t="s">
        <v>46</v>
      </c>
      <c r="F39" s="17"/>
      <c r="G39" s="17"/>
      <c r="H39" s="17"/>
      <c r="I39" s="18" t="str">
        <f t="shared" si="1"/>
        <v/>
      </c>
      <c r="J39" s="19"/>
    </row>
    <row r="40" spans="1:10" ht="34" customHeight="1">
      <c r="A40" s="13">
        <v>36</v>
      </c>
      <c r="B40" s="14" t="s">
        <v>85</v>
      </c>
      <c r="C40" s="15" t="s">
        <v>10</v>
      </c>
      <c r="D40" s="16" t="s">
        <v>86</v>
      </c>
      <c r="E40" s="16" t="s">
        <v>46</v>
      </c>
      <c r="F40" s="17"/>
      <c r="G40" s="17"/>
      <c r="H40" s="17"/>
      <c r="I40" s="18" t="str">
        <f t="shared" si="1"/>
        <v/>
      </c>
      <c r="J40" s="19"/>
    </row>
    <row r="41" spans="1:10" ht="34" customHeight="1">
      <c r="A41" s="13">
        <v>37</v>
      </c>
      <c r="B41" s="14" t="s">
        <v>85</v>
      </c>
      <c r="C41" s="15" t="s">
        <v>10</v>
      </c>
      <c r="D41" s="16" t="s">
        <v>87</v>
      </c>
      <c r="E41" s="16" t="s">
        <v>46</v>
      </c>
      <c r="F41" s="17"/>
      <c r="G41" s="17"/>
      <c r="H41" s="17"/>
      <c r="I41" s="18" t="str">
        <f t="shared" si="1"/>
        <v/>
      </c>
      <c r="J41" s="19"/>
    </row>
    <row r="42" spans="1:10" ht="34" customHeight="1">
      <c r="A42" s="13">
        <v>38</v>
      </c>
      <c r="B42" s="14" t="s">
        <v>85</v>
      </c>
      <c r="C42" s="15" t="s">
        <v>10</v>
      </c>
      <c r="D42" s="16" t="s">
        <v>88</v>
      </c>
      <c r="E42" s="16" t="s">
        <v>46</v>
      </c>
      <c r="F42" s="17"/>
      <c r="G42" s="17"/>
      <c r="H42" s="17"/>
      <c r="I42" s="18" t="str">
        <f t="shared" si="1"/>
        <v/>
      </c>
      <c r="J42" s="19"/>
    </row>
    <row r="43" spans="1:10" ht="34" customHeight="1">
      <c r="A43" s="13">
        <v>39</v>
      </c>
      <c r="B43" s="14" t="s">
        <v>85</v>
      </c>
      <c r="C43" s="15" t="s">
        <v>10</v>
      </c>
      <c r="D43" s="16" t="s">
        <v>89</v>
      </c>
      <c r="E43" s="16" t="s">
        <v>46</v>
      </c>
      <c r="F43" s="17"/>
      <c r="G43" s="17"/>
      <c r="H43" s="17"/>
      <c r="I43" s="18" t="str">
        <f t="shared" si="1"/>
        <v/>
      </c>
      <c r="J43" s="19"/>
    </row>
    <row r="44" spans="1:10" ht="34" customHeight="1">
      <c r="A44" s="13">
        <v>40</v>
      </c>
      <c r="B44" s="14" t="s">
        <v>85</v>
      </c>
      <c r="C44" s="15" t="s">
        <v>10</v>
      </c>
      <c r="D44" s="16" t="s">
        <v>90</v>
      </c>
      <c r="E44" s="16" t="s">
        <v>46</v>
      </c>
      <c r="F44" s="17"/>
      <c r="G44" s="17"/>
      <c r="H44" s="17"/>
      <c r="I44" s="18" t="str">
        <f t="shared" si="1"/>
        <v/>
      </c>
      <c r="J44" s="19"/>
    </row>
    <row r="45" spans="1:10" ht="34" customHeight="1">
      <c r="A45" s="13">
        <v>41</v>
      </c>
      <c r="B45" s="14" t="s">
        <v>91</v>
      </c>
      <c r="C45" s="15" t="s">
        <v>10</v>
      </c>
      <c r="D45" s="16" t="s">
        <v>92</v>
      </c>
      <c r="E45" s="16" t="s">
        <v>46</v>
      </c>
      <c r="F45" s="17"/>
      <c r="G45" s="17"/>
      <c r="H45" s="17"/>
      <c r="I45" s="18" t="str">
        <f t="shared" si="1"/>
        <v/>
      </c>
      <c r="J45" s="19"/>
    </row>
    <row r="46" spans="1:10" ht="34" customHeight="1">
      <c r="A46" s="13">
        <v>42</v>
      </c>
      <c r="B46" s="14" t="s">
        <v>91</v>
      </c>
      <c r="C46" s="15" t="s">
        <v>10</v>
      </c>
      <c r="D46" s="16" t="s">
        <v>93</v>
      </c>
      <c r="E46" s="16" t="s">
        <v>46</v>
      </c>
      <c r="F46" s="17"/>
      <c r="G46" s="17"/>
      <c r="H46" s="17"/>
      <c r="I46" s="18" t="str">
        <f t="shared" si="1"/>
        <v/>
      </c>
      <c r="J46" s="19"/>
    </row>
    <row r="47" spans="1:10" ht="34" customHeight="1">
      <c r="A47" s="13">
        <v>43</v>
      </c>
      <c r="B47" s="14" t="s">
        <v>91</v>
      </c>
      <c r="C47" s="15" t="s">
        <v>10</v>
      </c>
      <c r="D47" s="16" t="s">
        <v>94</v>
      </c>
      <c r="E47" s="16" t="s">
        <v>46</v>
      </c>
      <c r="F47" s="17"/>
      <c r="G47" s="17"/>
      <c r="H47" s="17"/>
      <c r="I47" s="18" t="str">
        <f t="shared" si="1"/>
        <v/>
      </c>
      <c r="J47" s="19"/>
    </row>
    <row r="48" spans="1:10" ht="34" customHeight="1">
      <c r="A48" s="13">
        <v>44</v>
      </c>
      <c r="B48" s="14" t="s">
        <v>95</v>
      </c>
      <c r="C48" s="15" t="s">
        <v>10</v>
      </c>
      <c r="D48" s="16" t="s">
        <v>96</v>
      </c>
      <c r="E48" s="16" t="s">
        <v>46</v>
      </c>
      <c r="F48" s="17"/>
      <c r="G48" s="17"/>
      <c r="H48" s="17"/>
      <c r="I48" s="18" t="str">
        <f t="shared" si="1"/>
        <v/>
      </c>
      <c r="J48" s="19"/>
    </row>
    <row r="49" spans="1:10" ht="34" customHeight="1">
      <c r="A49" s="13">
        <v>45</v>
      </c>
      <c r="B49" s="14" t="s">
        <v>95</v>
      </c>
      <c r="C49" s="15" t="s">
        <v>10</v>
      </c>
      <c r="D49" s="16" t="s">
        <v>97</v>
      </c>
      <c r="E49" s="16" t="s">
        <v>46</v>
      </c>
      <c r="F49" s="17"/>
      <c r="G49" s="17"/>
      <c r="H49" s="17"/>
      <c r="I49" s="18" t="str">
        <f t="shared" si="1"/>
        <v/>
      </c>
      <c r="J49" s="19"/>
    </row>
    <row r="50" spans="1:10" ht="34" customHeight="1">
      <c r="A50" s="13">
        <v>46</v>
      </c>
      <c r="B50" s="14" t="s">
        <v>95</v>
      </c>
      <c r="C50" s="15" t="s">
        <v>10</v>
      </c>
      <c r="D50" s="16" t="s">
        <v>98</v>
      </c>
      <c r="E50" s="16" t="s">
        <v>46</v>
      </c>
      <c r="F50" s="17"/>
      <c r="G50" s="17"/>
      <c r="H50" s="17"/>
      <c r="I50" s="18" t="str">
        <f t="shared" si="1"/>
        <v/>
      </c>
      <c r="J50" s="19"/>
    </row>
    <row r="51" spans="1:10" ht="34" customHeight="1">
      <c r="A51" s="13">
        <v>47</v>
      </c>
      <c r="B51" s="14" t="s">
        <v>95</v>
      </c>
      <c r="C51" s="15" t="s">
        <v>10</v>
      </c>
      <c r="D51" s="16" t="s">
        <v>99</v>
      </c>
      <c r="E51" s="16" t="s">
        <v>46</v>
      </c>
      <c r="F51" s="17"/>
      <c r="G51" s="17"/>
      <c r="H51" s="17"/>
      <c r="I51" s="18" t="str">
        <f t="shared" si="1"/>
        <v/>
      </c>
      <c r="J51" s="19"/>
    </row>
    <row r="52" spans="1:10" ht="34" customHeight="1">
      <c r="A52" s="13">
        <v>48</v>
      </c>
      <c r="B52" s="14" t="s">
        <v>95</v>
      </c>
      <c r="C52" s="15" t="s">
        <v>10</v>
      </c>
      <c r="D52" s="16" t="s">
        <v>100</v>
      </c>
      <c r="E52" s="16" t="s">
        <v>46</v>
      </c>
      <c r="F52" s="17"/>
      <c r="G52" s="17"/>
      <c r="H52" s="17"/>
      <c r="I52" s="18" t="str">
        <f t="shared" si="1"/>
        <v/>
      </c>
      <c r="J52" s="19"/>
    </row>
    <row r="53" spans="1:10" ht="34" customHeight="1">
      <c r="A53" s="13">
        <v>49</v>
      </c>
      <c r="B53" s="14" t="s">
        <v>101</v>
      </c>
      <c r="C53" s="20" t="s">
        <v>13</v>
      </c>
      <c r="D53" s="16" t="s">
        <v>102</v>
      </c>
      <c r="E53" s="16" t="s">
        <v>103</v>
      </c>
      <c r="F53" s="17"/>
      <c r="G53" s="17"/>
      <c r="H53" s="17"/>
      <c r="I53" s="18" t="str">
        <f t="shared" si="1"/>
        <v/>
      </c>
      <c r="J53" s="19"/>
    </row>
    <row r="54" spans="1:10" ht="34" customHeight="1">
      <c r="A54" s="13">
        <v>50</v>
      </c>
      <c r="B54" s="14" t="s">
        <v>101</v>
      </c>
      <c r="C54" s="20" t="s">
        <v>13</v>
      </c>
      <c r="D54" s="16" t="s">
        <v>104</v>
      </c>
      <c r="E54" s="16" t="s">
        <v>103</v>
      </c>
      <c r="F54" s="17"/>
      <c r="G54" s="17"/>
      <c r="H54" s="17"/>
      <c r="I54" s="18" t="str">
        <f t="shared" si="1"/>
        <v/>
      </c>
      <c r="J54" s="19"/>
    </row>
    <row r="55" spans="1:10" ht="34" customHeight="1">
      <c r="A55" s="13">
        <v>51</v>
      </c>
      <c r="B55" s="14" t="s">
        <v>101</v>
      </c>
      <c r="C55" s="20" t="s">
        <v>13</v>
      </c>
      <c r="D55" s="16" t="s">
        <v>105</v>
      </c>
      <c r="E55" s="16" t="s">
        <v>103</v>
      </c>
      <c r="F55" s="17"/>
      <c r="G55" s="17"/>
      <c r="H55" s="17"/>
      <c r="I55" s="18" t="str">
        <f t="shared" si="1"/>
        <v/>
      </c>
      <c r="J55" s="19"/>
    </row>
    <row r="56" spans="1:10" ht="34" customHeight="1">
      <c r="A56" s="13">
        <v>52</v>
      </c>
      <c r="B56" s="14" t="s">
        <v>101</v>
      </c>
      <c r="C56" s="20" t="s">
        <v>13</v>
      </c>
      <c r="D56" s="16" t="s">
        <v>106</v>
      </c>
      <c r="E56" s="16" t="s">
        <v>103</v>
      </c>
      <c r="F56" s="17"/>
      <c r="G56" s="17"/>
      <c r="H56" s="17"/>
      <c r="I56" s="18" t="str">
        <f t="shared" si="1"/>
        <v/>
      </c>
      <c r="J56" s="19"/>
    </row>
    <row r="57" spans="1:10" ht="34" customHeight="1">
      <c r="A57" s="13">
        <v>53</v>
      </c>
      <c r="B57" s="14" t="s">
        <v>101</v>
      </c>
      <c r="C57" s="20" t="s">
        <v>13</v>
      </c>
      <c r="D57" s="16" t="s">
        <v>107</v>
      </c>
      <c r="E57" s="16" t="s">
        <v>103</v>
      </c>
      <c r="F57" s="17"/>
      <c r="G57" s="17"/>
      <c r="H57" s="17"/>
      <c r="I57" s="18" t="str">
        <f t="shared" si="1"/>
        <v/>
      </c>
      <c r="J57" s="19"/>
    </row>
    <row r="58" spans="1:10" ht="34" customHeight="1">
      <c r="A58" s="13">
        <v>54</v>
      </c>
      <c r="B58" s="14" t="s">
        <v>101</v>
      </c>
      <c r="C58" s="20" t="s">
        <v>13</v>
      </c>
      <c r="D58" s="16" t="s">
        <v>108</v>
      </c>
      <c r="E58" s="16" t="s">
        <v>103</v>
      </c>
      <c r="F58" s="17"/>
      <c r="G58" s="17"/>
      <c r="H58" s="17"/>
      <c r="I58" s="18" t="str">
        <f t="shared" si="1"/>
        <v/>
      </c>
      <c r="J58" s="19"/>
    </row>
    <row r="59" spans="1:10" ht="34" customHeight="1">
      <c r="A59" s="13">
        <v>55</v>
      </c>
      <c r="B59" s="14" t="s">
        <v>101</v>
      </c>
      <c r="C59" s="20" t="s">
        <v>13</v>
      </c>
      <c r="D59" s="16" t="s">
        <v>109</v>
      </c>
      <c r="E59" s="16" t="s">
        <v>103</v>
      </c>
      <c r="F59" s="17"/>
      <c r="G59" s="17"/>
      <c r="H59" s="17"/>
      <c r="I59" s="18" t="str">
        <f t="shared" si="1"/>
        <v/>
      </c>
      <c r="J59" s="19"/>
    </row>
    <row r="60" spans="1:10" ht="34" customHeight="1">
      <c r="A60" s="13">
        <v>56</v>
      </c>
      <c r="B60" s="14" t="s">
        <v>101</v>
      </c>
      <c r="C60" s="20" t="s">
        <v>13</v>
      </c>
      <c r="D60" s="16" t="s">
        <v>110</v>
      </c>
      <c r="E60" s="16" t="s">
        <v>103</v>
      </c>
      <c r="F60" s="17"/>
      <c r="G60" s="17"/>
      <c r="H60" s="17"/>
      <c r="I60" s="18" t="str">
        <f t="shared" si="1"/>
        <v/>
      </c>
      <c r="J60" s="19"/>
    </row>
    <row r="61" spans="1:10" ht="34" customHeight="1">
      <c r="A61" s="13">
        <v>57</v>
      </c>
      <c r="B61" s="14" t="s">
        <v>101</v>
      </c>
      <c r="C61" s="20" t="s">
        <v>13</v>
      </c>
      <c r="D61" s="16" t="s">
        <v>111</v>
      </c>
      <c r="E61" s="16" t="s">
        <v>103</v>
      </c>
      <c r="F61" s="17"/>
      <c r="G61" s="17"/>
      <c r="H61" s="17"/>
      <c r="I61" s="18" t="str">
        <f t="shared" si="1"/>
        <v/>
      </c>
      <c r="J61" s="19"/>
    </row>
    <row r="62" spans="1:10" ht="34" customHeight="1">
      <c r="A62" s="13">
        <v>58</v>
      </c>
      <c r="B62" s="14" t="s">
        <v>101</v>
      </c>
      <c r="C62" s="20" t="s">
        <v>13</v>
      </c>
      <c r="D62" s="16" t="s">
        <v>112</v>
      </c>
      <c r="E62" s="16" t="s">
        <v>103</v>
      </c>
      <c r="F62" s="17"/>
      <c r="G62" s="17"/>
      <c r="H62" s="17"/>
      <c r="I62" s="18" t="str">
        <f t="shared" si="1"/>
        <v/>
      </c>
      <c r="J62" s="19"/>
    </row>
    <row r="63" spans="1:10" ht="34" customHeight="1">
      <c r="A63" s="13">
        <v>59</v>
      </c>
      <c r="B63" s="14" t="s">
        <v>113</v>
      </c>
      <c r="C63" s="21" t="s">
        <v>16</v>
      </c>
      <c r="D63" s="16" t="s">
        <v>114</v>
      </c>
      <c r="E63" s="16" t="s">
        <v>115</v>
      </c>
      <c r="F63" s="17"/>
      <c r="G63" s="17"/>
      <c r="H63" s="17"/>
      <c r="I63" s="18" t="str">
        <f t="shared" si="1"/>
        <v/>
      </c>
      <c r="J63" s="19"/>
    </row>
    <row r="64" spans="1:10" ht="34" customHeight="1">
      <c r="A64" s="13">
        <v>60</v>
      </c>
      <c r="B64" s="14" t="s">
        <v>113</v>
      </c>
      <c r="C64" s="21" t="s">
        <v>16</v>
      </c>
      <c r="D64" s="16" t="s">
        <v>116</v>
      </c>
      <c r="E64" s="16" t="s">
        <v>115</v>
      </c>
      <c r="F64" s="17"/>
      <c r="G64" s="17"/>
      <c r="H64" s="17"/>
      <c r="I64" s="18" t="str">
        <f t="shared" si="1"/>
        <v/>
      </c>
      <c r="J64" s="19"/>
    </row>
    <row r="65" spans="1:10" ht="34" customHeight="1">
      <c r="A65" s="13">
        <v>61</v>
      </c>
      <c r="B65" s="14" t="s">
        <v>113</v>
      </c>
      <c r="C65" s="21" t="s">
        <v>16</v>
      </c>
      <c r="D65" s="16" t="s">
        <v>117</v>
      </c>
      <c r="E65" s="16" t="s">
        <v>115</v>
      </c>
      <c r="F65" s="17"/>
      <c r="G65" s="17"/>
      <c r="H65" s="17"/>
      <c r="I65" s="18" t="str">
        <f t="shared" si="1"/>
        <v/>
      </c>
      <c r="J65" s="19"/>
    </row>
    <row r="66" spans="1:10" ht="34" customHeight="1">
      <c r="A66" s="13">
        <v>62</v>
      </c>
      <c r="B66" s="14" t="s">
        <v>113</v>
      </c>
      <c r="C66" s="21" t="s">
        <v>16</v>
      </c>
      <c r="D66" s="16" t="s">
        <v>118</v>
      </c>
      <c r="E66" s="16" t="s">
        <v>115</v>
      </c>
      <c r="F66" s="17"/>
      <c r="G66" s="17"/>
      <c r="H66" s="17"/>
      <c r="I66" s="18" t="str">
        <f t="shared" si="1"/>
        <v/>
      </c>
      <c r="J66" s="19"/>
    </row>
    <row r="67" spans="1:10" ht="34" customHeight="1">
      <c r="A67" s="13">
        <v>63</v>
      </c>
      <c r="B67" s="14" t="s">
        <v>113</v>
      </c>
      <c r="C67" s="21" t="s">
        <v>16</v>
      </c>
      <c r="D67" s="16" t="s">
        <v>119</v>
      </c>
      <c r="E67" s="16" t="s">
        <v>115</v>
      </c>
      <c r="F67" s="17"/>
      <c r="G67" s="17"/>
      <c r="H67" s="17"/>
      <c r="I67" s="18" t="str">
        <f t="shared" si="1"/>
        <v/>
      </c>
      <c r="J67" s="19"/>
    </row>
    <row r="68" spans="1:10" ht="34" customHeight="1">
      <c r="A68" s="13">
        <v>64</v>
      </c>
      <c r="B68" s="14" t="s">
        <v>113</v>
      </c>
      <c r="C68" s="21" t="s">
        <v>16</v>
      </c>
      <c r="D68" s="16" t="s">
        <v>120</v>
      </c>
      <c r="E68" s="16" t="s">
        <v>115</v>
      </c>
      <c r="F68" s="17"/>
      <c r="G68" s="17"/>
      <c r="H68" s="17"/>
      <c r="I68" s="18" t="str">
        <f t="shared" si="1"/>
        <v/>
      </c>
      <c r="J68" s="19"/>
    </row>
    <row r="69" spans="1:10" ht="34" customHeight="1">
      <c r="A69" s="22">
        <v>65</v>
      </c>
      <c r="B69" s="23" t="s">
        <v>113</v>
      </c>
      <c r="C69" s="24" t="s">
        <v>16</v>
      </c>
      <c r="D69" s="25" t="s">
        <v>121</v>
      </c>
      <c r="E69" s="25" t="s">
        <v>115</v>
      </c>
      <c r="F69" s="26"/>
      <c r="G69" s="26"/>
      <c r="H69" s="26"/>
      <c r="I69" s="27" t="str">
        <f t="shared" ref="I69:I100" si="2">IF((COUNTIF(F69:H69,"Correct")+COUNTIF(F69:H69,"Partial")+COUNTIF(F69:H69,"Wrong"))=0,"",(COUNTIF(F69:H69,"Correct")+(0.5*COUNTIF(F69:H69,"Partial")))/(COUNTIF(F69:H69,"Correct")+COUNTIF(F69:H69,"Partial")+COUNTIF(F69:H69,"Wrong")))</f>
        <v/>
      </c>
      <c r="J69" s="28"/>
    </row>
  </sheetData>
  <mergeCells count="2">
    <mergeCell ref="A1:J1"/>
    <mergeCell ref="A2:J2"/>
  </mergeCells>
  <conditionalFormatting sqref="F5:H69">
    <cfRule type="containsText" dxfId="5" priority="1" operator="containsText" text="Correct"/>
    <cfRule type="containsText" dxfId="4" priority="2" operator="containsText" text="Partial"/>
    <cfRule type="containsText" dxfId="3" priority="3" operator="containsText" text="Wrong"/>
  </conditionalFormatting>
  <conditionalFormatting sqref="I5:I69">
    <cfRule type="expression" dxfId="2" priority="4">
      <formula>AND($I5&lt;&gt;"",$I5&gt;=0.9)</formula>
    </cfRule>
    <cfRule type="expression" dxfId="1" priority="5">
      <formula>AND($I5&lt;&gt;"",$I5&gt;=0.5,$I5&lt;0.9)</formula>
    </cfRule>
    <cfRule type="expression" dxfId="0" priority="6">
      <formula>AND($I5&lt;&gt;"",$I5&lt;0.5)</formula>
    </cfRule>
  </conditionalFormatting>
  <dataValidations count="1">
    <dataValidation type="list" sqref="F5:H69" xr:uid="{00000000-0002-0000-0100-000000000000}">
      <formula1>"Correct,Partial,Wrong"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workbookViewId="0"/>
  </sheetViews>
  <sheetFormatPr baseColWidth="10" defaultColWidth="8.83203125" defaultRowHeight="15"/>
  <cols>
    <col min="1" max="1" width="22" customWidth="1"/>
    <col min="2" max="2" width="20" customWidth="1"/>
    <col min="3" max="3" width="62" customWidth="1"/>
  </cols>
  <sheetData>
    <row r="1" spans="1:3" ht="16">
      <c r="A1" s="29" t="s">
        <v>122</v>
      </c>
      <c r="B1" s="29" t="s">
        <v>123</v>
      </c>
      <c r="C1" s="2" t="s">
        <v>124</v>
      </c>
    </row>
    <row r="2" spans="1:3">
      <c r="A2" s="30" t="s">
        <v>24</v>
      </c>
      <c r="B2" s="30">
        <v>1</v>
      </c>
      <c r="C2" s="30" t="s">
        <v>125</v>
      </c>
    </row>
    <row r="3" spans="1:3">
      <c r="A3" s="30" t="s">
        <v>26</v>
      </c>
      <c r="B3" s="30">
        <v>0.5</v>
      </c>
      <c r="C3" s="30" t="s">
        <v>126</v>
      </c>
    </row>
    <row r="4" spans="1:3">
      <c r="A4" s="30" t="s">
        <v>28</v>
      </c>
      <c r="B4" s="30">
        <v>0</v>
      </c>
      <c r="C4" s="30" t="s">
        <v>127</v>
      </c>
    </row>
    <row r="5" spans="1:3">
      <c r="A5" s="9"/>
      <c r="B5" s="9"/>
      <c r="C5" s="9"/>
    </row>
    <row r="6" spans="1:3">
      <c r="A6" s="31" t="s">
        <v>128</v>
      </c>
      <c r="B6" s="31">
        <v>3</v>
      </c>
      <c r="C6" s="9"/>
    </row>
    <row r="7" spans="1:3">
      <c r="A7" s="30" t="s">
        <v>129</v>
      </c>
      <c r="B7" s="30" t="s">
        <v>130</v>
      </c>
      <c r="C7" s="9"/>
    </row>
    <row r="8" spans="1:3">
      <c r="A8" s="30" t="s">
        <v>131</v>
      </c>
      <c r="B8" s="30" t="s">
        <v>132</v>
      </c>
      <c r="C8" s="9"/>
    </row>
    <row r="9" spans="1:3">
      <c r="A9" s="30" t="s">
        <v>8</v>
      </c>
      <c r="B9" s="30" t="s">
        <v>133</v>
      </c>
      <c r="C9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Questions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RANDOLPH ARADA</cp:lastModifiedBy>
  <dcterms:modified xsi:type="dcterms:W3CDTF">2026-06-30T11:15:51Z</dcterms:modified>
</cp:coreProperties>
</file>